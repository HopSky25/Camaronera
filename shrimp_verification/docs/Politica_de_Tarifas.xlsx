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n" sheetId="1" r:id="rId1"/>
    <sheet name="Comisión 3c" sheetId="2" r:id="rId2"/>
    <sheet name="Honorario" sheetId="3" r:id="rId3"/>
    <sheet name="Circuito de cobro" sheetId="4" r:id="rId4"/>
    <sheet name="Simulador" sheetId="5" r:id="rId5"/>
    <sheet name="Fuentes" sheetId="6" r:id="rId6"/>
  </sheets>
  <calcPr calcId="124519" fullCalcOnLoad="1"/>
</workbook>
</file>

<file path=xl/sharedStrings.xml><?xml version="1.0" encoding="utf-8"?>
<sst xmlns="http://schemas.openxmlformats.org/spreadsheetml/2006/main" count="168" uniqueCount="155">
  <si>
    <t>Política de tarifas de la plataforma</t>
  </si>
  <si>
    <t>Camaronera · Marketplace de camarón con trazabilidad · análisis de septiembre de 2026</t>
  </si>
  <si>
    <t>Las dos tarifas</t>
  </si>
  <si>
    <t>Concepto</t>
  </si>
  <si>
    <t>Quién paga</t>
  </si>
  <si>
    <t>Tarifa</t>
  </si>
  <si>
    <t>Comisión del marketplace</t>
  </si>
  <si>
    <t>El vendedor</t>
  </si>
  <si>
    <t>3 centavos por libra</t>
  </si>
  <si>
    <t>Honorario de verificación</t>
  </si>
  <si>
    <t>El comprador</t>
  </si>
  <si>
    <t>$250 base + 2 ¢/lb (mín. $300 · máx. $800)</t>
  </si>
  <si>
    <t>Margen de la plataforma</t>
  </si>
  <si>
    <t>Se retiene del honorario</t>
  </si>
  <si>
    <t>15 %</t>
  </si>
  <si>
    <t>Por qué solo se cobra al vendedor</t>
  </si>
  <si>
    <t>Le cobramos a quien le resolvemos el problema</t>
  </si>
  <si>
    <t>El valor que aporta la plataforma al vendedor es colocar su camarón con el mejor comprador. Ese es el servicio por el que hay disposición real a pagar.</t>
  </si>
  <si>
    <t>Necesitamos demanda, no ahuyentarla</t>
  </si>
  <si>
    <t>Un marketplace muere por falta de compradores, no de oferta: camaroneras con producto siempre hay. Cada fricción al comprador resta el lado escaso.</t>
  </si>
  <si>
    <t>El comprador ya paga</t>
  </si>
  <si>
    <t>Asume íntegro el honorario de verificación. Añadirle comisión sería cobrarle dos veces a quien ya soporta el concepto más caro.</t>
  </si>
  <si>
    <t>Circuito del honorario</t>
  </si>
  <si>
    <t>Comprador  →  $370  →  PLATAFORMA (retiene $55,50 = 15 %)  →  $314,50  →  Empresa verificadora</t>
  </si>
  <si>
    <t>Se emiten dos documentos al cerrar el veredicto: factura de venta al comprador por el honorario completo, y factura de proveedor de la empresa verificadora por su parte. Se factura tanto si se aprueba como si se rechaza: el honorario retribuye la inspección realizada, no su resultado. Cobrar solo al aprobar daría al verificador un incentivo a aprobar.</t>
  </si>
  <si>
    <t>Comisión del marketplace: 3 centavos por libra</t>
  </si>
  <si>
    <t>Cuadro 1 · Qué cobran otros marketplaces B2B de alimentación</t>
  </si>
  <si>
    <t>Plataforma</t>
  </si>
  <si>
    <t>Comisión</t>
  </si>
  <si>
    <t>Alibaba</t>
  </si>
  <si>
    <t>BlueCart Endless</t>
  </si>
  <si>
    <t>FoodByUs</t>
  </si>
  <si>
    <t>Shipturtle</t>
  </si>
  <si>
    <t>Notch</t>
  </si>
  <si>
    <t>Rango general B2B</t>
  </si>
  <si>
    <t>2 % – 10 %</t>
  </si>
  <si>
    <t>El rango B2B es más bajo que en moda o delivery (20-30 %) porque los pedidos son grandes y los márgenes estrechos. En alimentación se concentra entre el 3 % y el 7 %.</t>
  </si>
  <si>
    <t>Cuadro 2 · Nuestra comisión como % del precio en playa</t>
  </si>
  <si>
    <t>Precio en playa</t>
  </si>
  <si>
    <t>1 ¢</t>
  </si>
  <si>
    <t>2 ¢</t>
  </si>
  <si>
    <t>3 ¢ (elegida)</t>
  </si>
  <si>
    <t>5 ¢</t>
  </si>
  <si>
    <t>10 ¢</t>
  </si>
  <si>
    <t>$1.50 / lb</t>
  </si>
  <si>
    <t>$2.00 / lb</t>
  </si>
  <si>
    <t>$2.41 / lb</t>
  </si>
  <si>
    <t>$3.52 / lb</t>
  </si>
  <si>
    <t>Referencias: la exportación promedió $2,41/lb en 2025 (+6,2 % sobre 2024); el precio en playa histórico ronda $1,40-1,70/lb. Con 1 centavo se cobraba entre 6 y 15 veces menos que el mercado; ni con 10 se saldría del rango del sector.</t>
  </si>
  <si>
    <t>Cuadro 3 · Ingreso proyectado sobre el volumen registrado</t>
  </si>
  <si>
    <t>Escenario</t>
  </si>
  <si>
    <t>Libras</t>
  </si>
  <si>
    <t>Volumen actual (86 operaciones)</t>
  </si>
  <si>
    <t>Un año a este ritmo</t>
  </si>
  <si>
    <t>A escala (x120)</t>
  </si>
  <si>
    <t>Cuadro 4 · Por qué 3 y no 2 ni 5</t>
  </si>
  <si>
    <t>Opción</t>
  </si>
  <si>
    <t>Razón</t>
  </si>
  <si>
    <t>No 2 centavos</t>
  </si>
  <si>
    <t>Dejan la comisión en 0,8-1,3 %: se duplica el ingreso pero se sigue regalando el servicio, y habría que volver a subir en pocos meses. Ajustar bien una vez cuesta menos credibilidad que subir dos veces seguidas.</t>
  </si>
  <si>
    <t>No 5 de entrada</t>
  </si>
  <si>
    <t>Multiplicar por cinco de golpe, sin marca consolidada, se lee como oportunismo. Los 5 centavos son el destino a doce meses, no el punto de partida.</t>
  </si>
  <si>
    <t>Sí 3 centavos</t>
  </si>
  <si>
    <t>Sitúan la comisión en 1,2-2 %: es la más baja del mercado de forma comprobable, triplica el ingreso y deja margen para llegar a 5 ¢ con volumen y reputación. Son 12 centavos por cada $10 que mueve el vendedor.</t>
  </si>
  <si>
    <t>Honorario de verificación: base + variable, con mínimo y tope</t>
  </si>
  <si>
    <t>Cuadro 5 · Lo que cuesta una inspección en el mercado</t>
  </si>
  <si>
    <t>Servicio</t>
  </si>
  <si>
    <t>Coste de referencia</t>
  </si>
  <si>
    <t>Inspección pre-embarque (SGS)</t>
  </si>
  <si>
    <t>$300 – $600 por hombre-día</t>
  </si>
  <si>
    <t>Certificación BAP (auditoría anual de instalación)</t>
  </si>
  <si>
    <t>$2.000 – $5.000</t>
  </si>
  <si>
    <t>Certificación ASC (1-2 días, empresa pequeña)</t>
  </si>
  <si>
    <t>$6.000 – $8.000</t>
  </si>
  <si>
    <t>Una verificación de lote es un día de técnico en campo, así que la referencia aplicable son los $300-600 de SGS, no las auditorías de certificación, que cubren un alcance mucho mayor (instalación completa, anual).</t>
  </si>
  <si>
    <t>Cuadro 6 · El problema del importe fijo de $500</t>
  </si>
  <si>
    <t>Lote (lb)</t>
  </si>
  <si>
    <t>Valor del lote</t>
  </si>
  <si>
    <t>$500 fijo</t>
  </si>
  <si>
    <t>% del lote</t>
  </si>
  <si>
    <t>Problema</t>
  </si>
  <si>
    <t>Inviable: nadie lo pediría</t>
  </si>
  <si>
    <t>Se cobra de menos por más trabajo</t>
  </si>
  <si>
    <t>Cuadro 7 · La tarifa adoptada: $250 base + 2 ¢/lb (mín. $300 · máx. $800)</t>
  </si>
  <si>
    <t>Honorario</t>
  </si>
  <si>
    <t>Observación</t>
  </si>
  <si>
    <t>mínimo</t>
  </si>
  <si>
    <t>alcanza el tope</t>
  </si>
  <si>
    <t>tope</t>
  </si>
  <si>
    <t>Refleja la estructura real del coste: el desplazamiento y el día de técnico no dependen del tamaño del lote, pero el muestreo, el pesaje y la clasificación sí. El mínimo evita salidas que no compensan; el tope reconoce que a partir de cierto volumen el trabajo deja de crecer.</t>
  </si>
  <si>
    <t>Cómo se cobra y se liquida el honorario</t>
  </si>
  <si>
    <t>Comprador  →  PLATAFORMA (retiene el margen)  →  Empresa verificadora</t>
  </si>
  <si>
    <t>Cuadro 8 · Ejemplo real registrado (lote de 6.000 lb)</t>
  </si>
  <si>
    <t>Importe</t>
  </si>
  <si>
    <t>Documento</t>
  </si>
  <si>
    <t>Estado</t>
  </si>
  <si>
    <t>Honorario facturado al comprador</t>
  </si>
  <si>
    <t>INV/2026/00011</t>
  </si>
  <si>
    <t>Contabilizada</t>
  </si>
  <si>
    <t>Retiene la plataforma (15 %)</t>
  </si>
  <si>
    <t>—</t>
  </si>
  <si>
    <t>Liquidación a la verificadora</t>
  </si>
  <si>
    <t>BILL/2026/09/0001</t>
  </si>
  <si>
    <t>Cuadro 9 · Decisiones de diseño</t>
  </si>
  <si>
    <t>Decisión</t>
  </si>
  <si>
    <t>Motivo</t>
  </si>
  <si>
    <t>Se factura al emitir el veredicto, aprobado o rechazado</t>
  </si>
  <si>
    <t>El honorario retribuye la inspección realizada, no su resultado. Cobrar solo al aprobar daría al verificador un incentivo directo a aprobar para poder cobrar.</t>
  </si>
  <si>
    <t>El margen se congela al emitir los documentos</t>
  </si>
  <si>
    <t>Cambiar el porcentaje después no altera lo ya facturado, igual que con las tarifas.</t>
  </si>
  <si>
    <t>Si la facturación falla, queda registrado en la verificación</t>
  </si>
  <si>
    <t>No solo en el log: un error silencioso puede dejar meses de honorarios sin facturar sin que nadie lo note. Hay un botón para reintentar.</t>
  </si>
  <si>
    <t>Simulador de tarifas</t>
  </si>
  <si>
    <t>Cambia las celdas naranjas y el resto se recalcula</t>
  </si>
  <si>
    <t>Datos de entrada</t>
  </si>
  <si>
    <t>Libras del lote</t>
  </si>
  <si>
    <t>Precio por libra ($)</t>
  </si>
  <si>
    <t>Comisión (centavos/lb)</t>
  </si>
  <si>
    <t>Honorario base ($)</t>
  </si>
  <si>
    <t>Honorario variable (ctv/lb)</t>
  </si>
  <si>
    <t>Honorario mínimo ($)</t>
  </si>
  <si>
    <t>Honorario máximo ($)</t>
  </si>
  <si>
    <t>Margen plataforma (%)</t>
  </si>
  <si>
    <t>Resultados</t>
  </si>
  <si>
    <t>Comisión al vendedor</t>
  </si>
  <si>
    <t>Comisión como % del valor</t>
  </si>
  <si>
    <t>Honorario bruto (base + variable)</t>
  </si>
  <si>
    <t>Honorario aplicado (con mín. y máx.)</t>
  </si>
  <si>
    <t>Honorario como % del lote</t>
  </si>
  <si>
    <t>Retiene la plataforma</t>
  </si>
  <si>
    <t>Liquidación al verificador</t>
  </si>
  <si>
    <t>INGRESO TOTAL DE LA PLATAFORMA</t>
  </si>
  <si>
    <t>Las ocho celdas naranjas son los parámetros configurables en el sistema:
• Comisión: Configuración › Unidades de medida
• Honorario y margen: Ajustes › Marketplace Camarón
Todas se registran en el momento de la operación: cambiarlas no altera transacciones ni verificaciones ya emitidas.</t>
  </si>
  <si>
    <t>Fuentes del análisis</t>
  </si>
  <si>
    <t>Consultadas en septiembre de 2026</t>
  </si>
  <si>
    <t>Referencia</t>
  </si>
  <si>
    <t>Enlace</t>
  </si>
  <si>
    <t>Camarón ecuatoriano, motor de las exportaciones 2026</t>
  </si>
  <si>
    <t>https://www.importacionesecuador.com.ec/articulos/camaron-clave-para-la-economia-de-ecuador-en-2026</t>
  </si>
  <si>
    <t>Marketplace Commission Rates by Industry 2026</t>
  </si>
  <si>
    <t>https://www.shipturtle.com/blog/marketplace-commission-charges-industry-vendors-shipturtle-2026</t>
  </si>
  <si>
    <t>B2B Marketplaces for Food Exporters 2026</t>
  </si>
  <si>
    <t>https://www.foodexpoconnect.com/en/blog/7-best-b2b-marketplaces-for-food-exporters-in-2026-honest-comparison-pricing</t>
  </si>
  <si>
    <t>Certificación BAP: requisito clave</t>
  </si>
  <si>
    <t>https://sectores.export.com.gt/acuicultura-y-pesca/2024/11/18/certificacion-bap-requisito-clave-para-acceder-a-los-mercados-mas-exigentes/</t>
  </si>
  <si>
    <t>Certificación ASC</t>
  </si>
  <si>
    <t>https://sectores.export.com.gt/acuicultura-y-pesca/2023/12/15/certificacion-asc/</t>
  </si>
  <si>
    <t>Seafood Inspection — SGS</t>
  </si>
  <si>
    <t>https://www.sgs.com/en-us/services/seafood</t>
  </si>
  <si>
    <t>SGS Pre-Shipment Inspection: comparativa de costes</t>
  </si>
  <si>
    <t>https://www.tradeaiders.com/sgs-pre-shipment-inspection-alternatives-6-options-that-cost-less-honest-comparison.html</t>
  </si>
  <si>
    <t>Cámara Nacional de Acuacultura</t>
  </si>
  <si>
    <t>https://www.cna-ecuador.com/</t>
  </si>
  <si>
    <t>Advertencia sobre los datos</t>
  </si>
  <si>
    <t>El precio en playa actual de 2026 no está publicado. Las referencias usadas son de 2018-2021 más el promedio de exportación de 2025, y los porcentajes de la hoja «Comisión 3c» se mueven de forma apreciable según ese número. Antes de considerar estas tarifas definitivas conviene contrastar el precio en playa con la Cámara Nacional de Acuacultura, que sí publica precios de mercado actualizados.</t>
  </si>
</sst>
</file>

<file path=xl/styles.xml><?xml version="1.0" encoding="utf-8"?>
<styleSheet xmlns="http://schemas.openxmlformats.org/spreadsheetml/2006/main">
  <numFmts count="4">
    <numFmt numFmtId="164" formatCode="0.00%"/>
    <numFmt numFmtId="165" formatCode="#,##0"/>
    <numFmt numFmtId="166" formatCode="$#,##0.00"/>
    <numFmt numFmtId="167" formatCode="#,##0.00"/>
  </numFmts>
  <fonts count="11">
    <font>
      <sz val="11"/>
      <color theme="1"/>
      <name val="Calibri"/>
      <family val="2"/>
      <scheme val="minor"/>
    </font>
    <font>
      <b/>
      <sz val="20"/>
      <color rgb="FF123E5C"/>
      <name val="Calibri"/>
      <family val="2"/>
      <scheme val="minor"/>
    </font>
    <font>
      <i/>
      <sz val="11"/>
      <color rgb="FF5A6B74"/>
      <name val="Calibri"/>
      <family val="2"/>
      <scheme val="minor"/>
    </font>
    <font>
      <b/>
      <sz val="14"/>
      <color rgb="FF123E5C"/>
      <name val="Calibri"/>
      <family val="2"/>
      <scheme val="minor"/>
    </font>
    <font>
      <b/>
      <sz val="11"/>
      <color rgb="FFFFFFFF"/>
      <name val="Calibri"/>
      <family val="2"/>
      <scheme val="minor"/>
    </font>
    <font>
      <b/>
      <sz val="11"/>
      <color theme="1"/>
      <name val="Calibri"/>
      <family val="2"/>
      <scheme val="minor"/>
    </font>
    <font>
      <sz val="10"/>
      <color theme="1"/>
      <name val="Calibri"/>
      <family val="2"/>
      <scheme val="minor"/>
    </font>
    <font>
      <i/>
      <sz val="9"/>
      <color rgb="FF5A6B74"/>
      <name val="Calibri"/>
      <family val="2"/>
      <scheme val="minor"/>
    </font>
    <font>
      <sz val="11"/>
      <color rgb="FFB3261E"/>
      <name val="Calibri"/>
      <family val="2"/>
      <scheme val="minor"/>
    </font>
    <font>
      <sz val="11"/>
      <color theme="1"/>
      <name val="Calibri"/>
      <family val="2"/>
      <scheme val="minor"/>
    </font>
    <font>
      <u/>
      <sz val="10"/>
      <color rgb="FF14A0B0"/>
      <name val="Calibri"/>
      <family val="2"/>
      <scheme val="minor"/>
    </font>
  </fonts>
  <fills count="8">
    <fill>
      <patternFill patternType="none"/>
    </fill>
    <fill>
      <patternFill patternType="gray125"/>
    </fill>
    <fill>
      <patternFill patternType="solid">
        <fgColor rgb="FF123E5C"/>
        <bgColor indexed="64"/>
      </patternFill>
    </fill>
    <fill>
      <patternFill patternType="solid">
        <fgColor rgb="FF14A0B0"/>
        <bgColor indexed="64"/>
      </patternFill>
    </fill>
    <fill>
      <patternFill patternType="solid">
        <fgColor rgb="FFFDF8EE"/>
        <bgColor indexed="64"/>
      </patternFill>
    </fill>
    <fill>
      <patternFill patternType="solid">
        <fgColor rgb="FFE6F6F8"/>
        <bgColor indexed="64"/>
      </patternFill>
    </fill>
    <fill>
      <patternFill patternType="solid">
        <fgColor rgb="FFF2FBFC"/>
        <bgColor indexed="64"/>
      </patternFill>
    </fill>
    <fill>
      <patternFill patternType="solid">
        <fgColor rgb="FFFFFBF0"/>
        <bgColor indexed="64"/>
      </patternFill>
    </fill>
  </fills>
  <borders count="7">
    <border>
      <left/>
      <right/>
      <top/>
      <bottom/>
      <diagonal/>
    </border>
    <border>
      <left/>
      <right/>
      <top/>
      <bottom style="medium">
        <color rgb="FF14A0B0"/>
      </bottom>
      <diagonal/>
    </border>
    <border>
      <left style="thin">
        <color rgb="FFD8E0E5"/>
      </left>
      <right style="thin">
        <color rgb="FFD8E0E5"/>
      </right>
      <top style="thin">
        <color rgb="FFD8E0E5"/>
      </top>
      <bottom style="thin">
        <color rgb="FFD8E0E5"/>
      </bottom>
      <diagonal/>
    </border>
    <border>
      <left style="thin">
        <color auto="1"/>
      </left>
      <right style="thin">
        <color auto="1"/>
      </right>
      <top style="thin">
        <color auto="1"/>
      </top>
      <bottom style="thin">
        <color auto="1"/>
      </bottom>
      <diagonal/>
    </border>
    <border>
      <left style="thin">
        <color rgb="FFEDD9B0"/>
      </left>
      <right style="thin">
        <color rgb="FFEDD9B0"/>
      </right>
      <top style="thin">
        <color rgb="FFEDD9B0"/>
      </top>
      <bottom style="thin">
        <color rgb="FFEDD9B0"/>
      </bottom>
      <diagonal/>
    </border>
    <border>
      <left style="medium">
        <color rgb="FF14A0B0"/>
      </left>
      <right style="medium">
        <color rgb="FF14A0B0"/>
      </right>
      <top style="medium">
        <color rgb="FF14A0B0"/>
      </top>
      <bottom style="medium">
        <color rgb="FF14A0B0"/>
      </bottom>
      <diagonal/>
    </border>
    <border>
      <left style="medium">
        <color rgb="FFE0A106"/>
      </left>
      <right style="medium">
        <color rgb="FFE0A106"/>
      </right>
      <top style="medium">
        <color rgb="FFE0A106"/>
      </top>
      <bottom style="medium">
        <color rgb="FFE0A106"/>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3" fillId="0" borderId="1" xfId="0" applyFont="1" applyBorder="1"/>
    <xf numFmtId="0" fontId="4" fillId="2" borderId="2" xfId="0" applyFont="1" applyFill="1" applyBorder="1" applyAlignment="1">
      <alignment horizontal="center" vertical="center" wrapText="1"/>
    </xf>
    <xf numFmtId="0" fontId="0" fillId="0" borderId="2" xfId="0" applyBorder="1"/>
    <xf numFmtId="0" fontId="5" fillId="0" borderId="2" xfId="0" applyFont="1" applyBorder="1" applyAlignment="1">
      <alignment vertical="top" wrapText="1"/>
    </xf>
    <xf numFmtId="0" fontId="0" fillId="0" borderId="2" xfId="0" applyBorder="1" applyAlignment="1">
      <alignment vertical="top" wrapText="1"/>
    </xf>
    <xf numFmtId="0" fontId="4" fillId="3" borderId="3" xfId="0" applyFont="1" applyFill="1" applyBorder="1" applyAlignment="1">
      <alignment horizontal="center" vertical="center"/>
    </xf>
    <xf numFmtId="0" fontId="6" fillId="4" borderId="4" xfId="0" applyFont="1" applyFill="1" applyBorder="1" applyAlignment="1">
      <alignment vertical="top" wrapText="1"/>
    </xf>
    <xf numFmtId="164" fontId="0" fillId="0" borderId="2" xfId="0" applyNumberFormat="1" applyBorder="1"/>
    <xf numFmtId="0" fontId="0" fillId="0" borderId="2" xfId="0" applyBorder="1" applyAlignment="1">
      <alignment horizontal="center"/>
    </xf>
    <xf numFmtId="0" fontId="7" fillId="0" borderId="0" xfId="0" applyFont="1" applyAlignment="1">
      <alignment vertical="top" wrapText="1"/>
    </xf>
    <xf numFmtId="164" fontId="8" fillId="0" borderId="2" xfId="0" applyNumberFormat="1" applyFont="1" applyBorder="1"/>
    <xf numFmtId="164" fontId="5" fillId="5" borderId="5" xfId="0" applyNumberFormat="1" applyFont="1" applyFill="1" applyBorder="1"/>
    <xf numFmtId="165" fontId="0" fillId="0" borderId="2" xfId="0" applyNumberFormat="1" applyBorder="1"/>
    <xf numFmtId="166" fontId="0" fillId="0" borderId="2" xfId="0" applyNumberFormat="1" applyBorder="1"/>
    <xf numFmtId="166" fontId="5" fillId="6" borderId="2" xfId="0" applyNumberFormat="1" applyFont="1" applyFill="1" applyBorder="1"/>
    <xf numFmtId="0" fontId="5" fillId="0" borderId="2" xfId="0" applyFont="1" applyBorder="1" applyAlignment="1">
      <alignment vertical="top"/>
    </xf>
    <xf numFmtId="167" fontId="5" fillId="7" borderId="6" xfId="0" applyNumberFormat="1" applyFont="1" applyFill="1" applyBorder="1"/>
    <xf numFmtId="0" fontId="9" fillId="0" borderId="2" xfId="0" applyFont="1" applyBorder="1"/>
    <xf numFmtId="0" fontId="5" fillId="0" borderId="2" xfId="0" applyFont="1" applyBorder="1"/>
    <xf numFmtId="0" fontId="10"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Comisión de marketplaces B2B de alimentación</a:t>
            </a:r>
          </a:p>
        </c:rich>
      </c:tx>
      <c:layout/>
    </c:title>
    <c:plotArea>
      <c:layout/>
      <c:barChart>
        <c:barDir val="col"/>
        <c:grouping val="clustered"/>
        <c:ser>
          <c:idx val="0"/>
          <c:order val="0"/>
          <c:tx>
            <c:v>Comisión</c:v>
          </c:tx>
          <c:spPr>
            <a:solidFill>
              <a:srgbClr val="14A0B0"/>
            </a:solidFill>
          </c:spPr>
          <c:cat>
            <c:strRef>
              <c:f>'Comisión 3c'!$B$7:$B$12</c:f>
              <c:strCache>
                <c:ptCount val="6"/>
                <c:pt idx="0">
                  <c:v>Alibaba</c:v>
                </c:pt>
                <c:pt idx="1">
                  <c:v>BlueCart Endless</c:v>
                </c:pt>
                <c:pt idx="2">
                  <c:v>FoodByUs</c:v>
                </c:pt>
                <c:pt idx="3">
                  <c:v>Shipturtle</c:v>
                </c:pt>
                <c:pt idx="4">
                  <c:v>Notch</c:v>
                </c:pt>
                <c:pt idx="5">
                  <c:v>Rango general B2B</c:v>
                </c:pt>
              </c:strCache>
            </c:strRef>
          </c:cat>
          <c:val>
            <c:numRef>
              <c:f>'Comisión 3c'!$C$7:$C$12</c:f>
              <c:numCache>
                <c:formatCode>General</c:formatCode>
                <c:ptCount val="6"/>
                <c:pt idx="0">
                  <c:v>0.03</c:v>
                </c:pt>
                <c:pt idx="1">
                  <c:v>0.03</c:v>
                </c:pt>
                <c:pt idx="2">
                  <c:v>0.05</c:v>
                </c:pt>
                <c:pt idx="3">
                  <c:v>0.05</c:v>
                </c:pt>
                <c:pt idx="4">
                  <c:v>0.07000000000000001</c:v>
                </c:pt>
                <c:pt idx="5">
                  <c:v>0</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numFmt formatCode="0%" sourceLinked="0"/>
        <c:tickLblPos val="nextTo"/>
        <c:crossAx val="5001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4</xdr:row>
      <xdr:rowOff>0</xdr:rowOff>
    </xdr:from>
    <xdr:to>
      <xdr:col>7</xdr:col>
      <xdr:colOff>723900</xdr:colOff>
      <xdr:row>17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importacionesecuador.com.ec/articulos/camaron-clave-para-la-economia-de-ecuador-en-2026" TargetMode="External"/><Relationship Id="rId2" Type="http://schemas.openxmlformats.org/officeDocument/2006/relationships/hyperlink" Target="https://www.shipturtle.com/blog/marketplace-commission-charges-industry-vendors-shipturtle-2026" TargetMode="External"/><Relationship Id="rId3" Type="http://schemas.openxmlformats.org/officeDocument/2006/relationships/hyperlink" Target="https://www.foodexpoconnect.com/en/blog/7-best-b2b-marketplaces-for-food-exporters-in-2026-honest-comparison-pricing" TargetMode="External"/><Relationship Id="rId4" Type="http://schemas.openxmlformats.org/officeDocument/2006/relationships/hyperlink" Target="https://sectores.export.com.gt/acuicultura-y-pesca/2024/11/18/certificacion-bap-requisito-clave-para-acceder-a-los-mercados-mas-exigentes/" TargetMode="External"/><Relationship Id="rId5" Type="http://schemas.openxmlformats.org/officeDocument/2006/relationships/hyperlink" Target="https://sectores.export.com.gt/acuicultura-y-pesca/2023/12/15/certificacion-asc/" TargetMode="External"/><Relationship Id="rId6" Type="http://schemas.openxmlformats.org/officeDocument/2006/relationships/hyperlink" Target="https://www.sgs.com/en-us/services/seafood" TargetMode="External"/><Relationship Id="rId7" Type="http://schemas.openxmlformats.org/officeDocument/2006/relationships/hyperlink" Target="https://www.tradeaiders.com/sgs-pre-shipment-inspection-alternatives-6-options-that-cost-less-honest-comparison.html" TargetMode="External"/><Relationship Id="rId8" Type="http://schemas.openxmlformats.org/officeDocument/2006/relationships/hyperlink" Target="https://www.cna-ecuador.com/" TargetMode="External"/></Relationships>
</file>

<file path=xl/worksheets/sheet1.xml><?xml version="1.0" encoding="utf-8"?>
<worksheet xmlns="http://schemas.openxmlformats.org/spreadsheetml/2006/main" xmlns:r="http://schemas.openxmlformats.org/officeDocument/2006/relationships">
  <dimension ref="B2:D22"/>
  <sheetViews>
    <sheetView showGridLines="0" tabSelected="1" workbookViewId="0"/>
  </sheetViews>
  <sheetFormatPr defaultRowHeight="15"/>
  <cols>
    <col min="1" max="1" width="2.7109375" customWidth="1"/>
    <col min="2" max="2" width="30.7109375" customWidth="1"/>
    <col min="3" max="3" width="22.7109375" customWidth="1"/>
    <col min="4" max="4" width="46.7109375" customWidth="1"/>
  </cols>
  <sheetData>
    <row r="2" spans="2:4">
      <c r="B2" s="1" t="s">
        <v>0</v>
      </c>
    </row>
    <row r="3" spans="2:4">
      <c r="B3" s="2" t="s">
        <v>1</v>
      </c>
    </row>
    <row r="5" spans="2:4">
      <c r="B5" s="3" t="s">
        <v>2</v>
      </c>
    </row>
    <row r="6" spans="2:4">
      <c r="B6" s="4" t="s">
        <v>3</v>
      </c>
      <c r="C6" s="4" t="s">
        <v>4</v>
      </c>
      <c r="D6" s="4" t="s">
        <v>5</v>
      </c>
    </row>
    <row r="7" spans="2:4">
      <c r="B7" s="5" t="s">
        <v>6</v>
      </c>
      <c r="C7" s="5" t="s">
        <v>7</v>
      </c>
      <c r="D7" s="5" t="s">
        <v>8</v>
      </c>
    </row>
    <row r="8" spans="2:4">
      <c r="B8" s="5" t="s">
        <v>9</v>
      </c>
      <c r="C8" s="5" t="s">
        <v>10</v>
      </c>
      <c r="D8" s="5" t="s">
        <v>11</v>
      </c>
    </row>
    <row r="9" spans="2:4">
      <c r="B9" s="5" t="s">
        <v>12</v>
      </c>
      <c r="C9" s="5" t="s">
        <v>13</v>
      </c>
      <c r="D9" s="5" t="s">
        <v>14</v>
      </c>
    </row>
    <row r="11" spans="2:4">
      <c r="B11" s="3" t="s">
        <v>15</v>
      </c>
    </row>
    <row r="13" spans="2:4" ht="46" customHeight="1">
      <c r="B13" s="6" t="s">
        <v>16</v>
      </c>
      <c r="C13" s="7" t="s">
        <v>17</v>
      </c>
      <c r="D13" s="7"/>
    </row>
    <row r="14" spans="2:4" ht="46" customHeight="1">
      <c r="B14" s="6" t="s">
        <v>18</v>
      </c>
      <c r="C14" s="7" t="s">
        <v>19</v>
      </c>
      <c r="D14" s="7"/>
    </row>
    <row r="15" spans="2:4" ht="46" customHeight="1">
      <c r="B15" s="6" t="s">
        <v>20</v>
      </c>
      <c r="C15" s="7" t="s">
        <v>21</v>
      </c>
      <c r="D15" s="7"/>
    </row>
    <row r="17" spans="2:4">
      <c r="B17" s="3" t="s">
        <v>22</v>
      </c>
    </row>
    <row r="18" spans="2:4" ht="28" customHeight="1">
      <c r="B18" s="8" t="s">
        <v>23</v>
      </c>
      <c r="C18" s="8"/>
      <c r="D18" s="8"/>
    </row>
    <row r="20" spans="2:4">
      <c r="B20" s="9" t="s">
        <v>24</v>
      </c>
      <c r="C20" s="9"/>
      <c r="D20" s="9"/>
    </row>
    <row r="21" spans="2:4">
      <c r="B21" s="9"/>
      <c r="C21" s="9"/>
      <c r="D21" s="9"/>
    </row>
    <row r="22" spans="2:4">
      <c r="B22" s="9"/>
      <c r="C22" s="9"/>
      <c r="D22" s="9"/>
    </row>
  </sheetData>
  <mergeCells count="5">
    <mergeCell ref="C13:D13"/>
    <mergeCell ref="C14:D14"/>
    <mergeCell ref="C15:D15"/>
    <mergeCell ref="B18:D18"/>
    <mergeCell ref="B20:D2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B2:H37"/>
  <sheetViews>
    <sheetView showGridLines="0" workbookViewId="0"/>
  </sheetViews>
  <sheetFormatPr defaultRowHeight="15"/>
  <cols>
    <col min="1" max="1" width="2.7109375" customWidth="1"/>
    <col min="2" max="2" width="26.7109375" customWidth="1"/>
    <col min="3" max="8" width="13.7109375" customWidth="1"/>
  </cols>
  <sheetData>
    <row r="2" spans="2:8">
      <c r="B2" s="1" t="s">
        <v>25</v>
      </c>
    </row>
    <row r="4" spans="2:8">
      <c r="B4" s="3" t="s">
        <v>26</v>
      </c>
    </row>
    <row r="5" spans="2:8">
      <c r="B5" s="4" t="s">
        <v>27</v>
      </c>
      <c r="C5" s="4" t="s">
        <v>28</v>
      </c>
    </row>
    <row r="7" spans="2:8">
      <c r="B7" s="5" t="s">
        <v>29</v>
      </c>
      <c r="C7" s="10">
        <v>0.03</v>
      </c>
    </row>
    <row r="8" spans="2:8">
      <c r="B8" s="5" t="s">
        <v>30</v>
      </c>
      <c r="C8" s="10">
        <v>0.03</v>
      </c>
    </row>
    <row r="9" spans="2:8">
      <c r="B9" s="5" t="s">
        <v>31</v>
      </c>
      <c r="C9" s="10">
        <v>0.05</v>
      </c>
    </row>
    <row r="10" spans="2:8">
      <c r="B10" s="5" t="s">
        <v>32</v>
      </c>
      <c r="C10" s="10">
        <v>0.05</v>
      </c>
    </row>
    <row r="11" spans="2:8">
      <c r="B11" s="5" t="s">
        <v>33</v>
      </c>
      <c r="C11" s="10">
        <v>0.07000000000000001</v>
      </c>
    </row>
    <row r="12" spans="2:8">
      <c r="B12" s="5" t="s">
        <v>34</v>
      </c>
      <c r="C12" s="11" t="s">
        <v>35</v>
      </c>
    </row>
    <row r="13" spans="2:8">
      <c r="B13" s="12" t="s">
        <v>36</v>
      </c>
      <c r="C13" s="12"/>
      <c r="D13" s="12"/>
      <c r="E13" s="12"/>
      <c r="F13" s="12"/>
      <c r="G13" s="12"/>
      <c r="H13" s="12"/>
    </row>
    <row r="14" spans="2:8">
      <c r="B14" s="12"/>
      <c r="C14" s="12"/>
      <c r="D14" s="12"/>
      <c r="E14" s="12"/>
      <c r="F14" s="12"/>
      <c r="G14" s="12"/>
      <c r="H14" s="12"/>
    </row>
    <row r="16" spans="2:8">
      <c r="B16" s="3" t="s">
        <v>37</v>
      </c>
    </row>
    <row r="17" spans="2:8">
      <c r="B17" s="4" t="s">
        <v>38</v>
      </c>
      <c r="C17" s="4" t="s">
        <v>39</v>
      </c>
      <c r="D17" s="4" t="s">
        <v>40</v>
      </c>
      <c r="E17" s="4" t="s">
        <v>41</v>
      </c>
      <c r="F17" s="4" t="s">
        <v>42</v>
      </c>
      <c r="G17" s="4" t="s">
        <v>43</v>
      </c>
    </row>
    <row r="19" spans="2:8">
      <c r="B19" s="5" t="s">
        <v>44</v>
      </c>
      <c r="C19" s="13">
        <v>0.006666666666666667</v>
      </c>
      <c r="D19" s="10">
        <v>0.01333333333333333</v>
      </c>
      <c r="E19" s="14">
        <v>0.02</v>
      </c>
      <c r="F19" s="10">
        <v>0.03333333333333333</v>
      </c>
      <c r="G19" s="10">
        <v>0.06666666666666667</v>
      </c>
    </row>
    <row r="20" spans="2:8">
      <c r="B20" s="5" t="s">
        <v>45</v>
      </c>
      <c r="C20" s="13">
        <v>0.005</v>
      </c>
      <c r="D20" s="10">
        <v>0.01</v>
      </c>
      <c r="E20" s="14">
        <v>0.015</v>
      </c>
      <c r="F20" s="10">
        <v>0.025</v>
      </c>
      <c r="G20" s="10">
        <v>0.05</v>
      </c>
    </row>
    <row r="21" spans="2:8">
      <c r="B21" s="5" t="s">
        <v>46</v>
      </c>
      <c r="C21" s="13">
        <v>0.004149377593360996</v>
      </c>
      <c r="D21" s="10">
        <v>0.008298755186721992</v>
      </c>
      <c r="E21" s="14">
        <v>0.01244813278008299</v>
      </c>
      <c r="F21" s="10">
        <v>0.02074688796680498</v>
      </c>
      <c r="G21" s="10">
        <v>0.04149377593360996</v>
      </c>
    </row>
    <row r="22" spans="2:8">
      <c r="B22" s="5" t="s">
        <v>47</v>
      </c>
      <c r="C22" s="13">
        <v>0.002840909090909091</v>
      </c>
      <c r="D22" s="10">
        <v>0.005681818181818182</v>
      </c>
      <c r="E22" s="14">
        <v>0.008522727272727272</v>
      </c>
      <c r="F22" s="10">
        <v>0.01420454545454546</v>
      </c>
      <c r="G22" s="10">
        <v>0.02840909090909091</v>
      </c>
    </row>
    <row r="23" spans="2:8">
      <c r="B23" s="12" t="s">
        <v>48</v>
      </c>
      <c r="C23" s="12"/>
      <c r="D23" s="12"/>
      <c r="E23" s="12"/>
      <c r="F23" s="12"/>
      <c r="G23" s="12"/>
      <c r="H23" s="12"/>
    </row>
    <row r="24" spans="2:8">
      <c r="B24" s="12"/>
      <c r="C24" s="12"/>
      <c r="D24" s="12"/>
      <c r="E24" s="12"/>
      <c r="F24" s="12"/>
      <c r="G24" s="12"/>
      <c r="H24" s="12"/>
    </row>
    <row r="26" spans="2:8">
      <c r="B26" s="3" t="s">
        <v>49</v>
      </c>
    </row>
    <row r="27" spans="2:8">
      <c r="B27" s="4" t="s">
        <v>50</v>
      </c>
      <c r="C27" s="4" t="s">
        <v>51</v>
      </c>
      <c r="D27" s="4" t="s">
        <v>39</v>
      </c>
      <c r="E27" s="4" t="s">
        <v>40</v>
      </c>
      <c r="F27" s="4" t="s">
        <v>41</v>
      </c>
      <c r="G27" s="4" t="s">
        <v>42</v>
      </c>
    </row>
    <row r="29" spans="2:8">
      <c r="B29" s="5" t="s">
        <v>52</v>
      </c>
      <c r="C29" s="15">
        <v>47517</v>
      </c>
      <c r="D29" s="16">
        <v>475.17</v>
      </c>
      <c r="E29" s="16">
        <v>950.34</v>
      </c>
      <c r="F29" s="17">
        <v>1425.51</v>
      </c>
      <c r="G29" s="16">
        <v>2375.85</v>
      </c>
    </row>
    <row r="30" spans="2:8">
      <c r="B30" s="5" t="s">
        <v>53</v>
      </c>
      <c r="C30" s="15">
        <v>570204</v>
      </c>
      <c r="D30" s="16">
        <v>5702.04</v>
      </c>
      <c r="E30" s="16">
        <v>11404.08</v>
      </c>
      <c r="F30" s="17">
        <v>17106.12</v>
      </c>
      <c r="G30" s="16">
        <v>28510.2</v>
      </c>
    </row>
    <row r="31" spans="2:8">
      <c r="B31" s="5" t="s">
        <v>54</v>
      </c>
      <c r="C31" s="15">
        <v>5702040</v>
      </c>
      <c r="D31" s="16">
        <v>57020.4</v>
      </c>
      <c r="E31" s="16">
        <v>114040.8</v>
      </c>
      <c r="F31" s="17">
        <v>171061.2</v>
      </c>
      <c r="G31" s="16">
        <v>285102</v>
      </c>
    </row>
    <row r="32" spans="2:8">
      <c r="B32" s="3" t="s">
        <v>55</v>
      </c>
    </row>
    <row r="33" spans="2:8">
      <c r="B33" s="4" t="s">
        <v>56</v>
      </c>
      <c r="C33" s="4" t="s">
        <v>57</v>
      </c>
    </row>
    <row r="35" spans="2:8" ht="42" customHeight="1">
      <c r="B35" s="18" t="s">
        <v>58</v>
      </c>
      <c r="C35" s="7" t="s">
        <v>59</v>
      </c>
      <c r="D35" s="7"/>
      <c r="E35" s="7"/>
      <c r="F35" s="7"/>
      <c r="G35" s="7"/>
      <c r="H35" s="7"/>
    </row>
    <row r="36" spans="2:8" ht="42" customHeight="1">
      <c r="B36" s="18" t="s">
        <v>60</v>
      </c>
      <c r="C36" s="7" t="s">
        <v>61</v>
      </c>
      <c r="D36" s="7"/>
      <c r="E36" s="7"/>
      <c r="F36" s="7"/>
      <c r="G36" s="7"/>
      <c r="H36" s="7"/>
    </row>
    <row r="37" spans="2:8" ht="42" customHeight="1">
      <c r="B37" s="18" t="s">
        <v>62</v>
      </c>
      <c r="C37" s="7" t="s">
        <v>63</v>
      </c>
      <c r="D37" s="7"/>
      <c r="E37" s="7"/>
      <c r="F37" s="7"/>
      <c r="G37" s="7"/>
      <c r="H37" s="7"/>
    </row>
  </sheetData>
  <mergeCells count="5">
    <mergeCell ref="B13:H14"/>
    <mergeCell ref="B23:H24"/>
    <mergeCell ref="C35:H35"/>
    <mergeCell ref="C36:H36"/>
    <mergeCell ref="C37:H3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B2:G31"/>
  <sheetViews>
    <sheetView showGridLines="0" workbookViewId="0"/>
  </sheetViews>
  <sheetFormatPr defaultRowHeight="15"/>
  <cols>
    <col min="1" max="1" width="2.7109375" customWidth="1"/>
    <col min="2" max="2" width="16.7109375" customWidth="1"/>
    <col min="3" max="7" width="15.7109375" customWidth="1"/>
  </cols>
  <sheetData>
    <row r="2" spans="2:7">
      <c r="B2" s="1" t="s">
        <v>64</v>
      </c>
    </row>
    <row r="4" spans="2:7">
      <c r="B4" s="3" t="s">
        <v>65</v>
      </c>
    </row>
    <row r="5" spans="2:7">
      <c r="B5" s="4" t="s">
        <v>66</v>
      </c>
      <c r="C5" s="4" t="s">
        <v>67</v>
      </c>
    </row>
    <row r="7" spans="2:7">
      <c r="B7" s="5" t="s">
        <v>68</v>
      </c>
      <c r="C7" s="11" t="s">
        <v>69</v>
      </c>
      <c r="D7" s="11"/>
      <c r="E7" s="11"/>
    </row>
    <row r="8" spans="2:7">
      <c r="B8" s="5" t="s">
        <v>70</v>
      </c>
      <c r="C8" s="11" t="s">
        <v>71</v>
      </c>
      <c r="D8" s="11"/>
      <c r="E8" s="11"/>
    </row>
    <row r="9" spans="2:7">
      <c r="B9" s="5" t="s">
        <v>72</v>
      </c>
      <c r="C9" s="11" t="s">
        <v>73</v>
      </c>
      <c r="D9" s="11"/>
      <c r="E9" s="11"/>
    </row>
    <row r="10" spans="2:7">
      <c r="B10" s="12" t="s">
        <v>74</v>
      </c>
      <c r="C10" s="12"/>
      <c r="D10" s="12"/>
      <c r="E10" s="12"/>
      <c r="F10" s="12"/>
      <c r="G10" s="12"/>
    </row>
    <row r="11" spans="2:7">
      <c r="B11" s="12"/>
      <c r="C11" s="12"/>
      <c r="D11" s="12"/>
      <c r="E11" s="12"/>
      <c r="F11" s="12"/>
      <c r="G11" s="12"/>
    </row>
    <row r="13" spans="2:7">
      <c r="B13" s="3" t="s">
        <v>75</v>
      </c>
    </row>
    <row r="14" spans="2:7">
      <c r="B14" s="4" t="s">
        <v>76</v>
      </c>
      <c r="C14" s="4" t="s">
        <v>77</v>
      </c>
      <c r="D14" s="4" t="s">
        <v>78</v>
      </c>
      <c r="E14" s="4" t="s">
        <v>79</v>
      </c>
      <c r="F14" s="4" t="s">
        <v>80</v>
      </c>
    </row>
    <row r="16" spans="2:7">
      <c r="B16" s="15">
        <v>1000</v>
      </c>
      <c r="C16" s="16">
        <v>3520</v>
      </c>
      <c r="D16" s="16">
        <v>500</v>
      </c>
      <c r="E16" s="13">
        <v>0.1420454545454546</v>
      </c>
      <c r="F16" s="5" t="s">
        <v>81</v>
      </c>
    </row>
    <row r="17" spans="2:7">
      <c r="B17" s="15">
        <v>5000</v>
      </c>
      <c r="C17" s="16">
        <v>17600</v>
      </c>
      <c r="D17" s="16">
        <v>500</v>
      </c>
      <c r="E17" s="10">
        <v>0.02840909090909091</v>
      </c>
      <c r="F17" s="5"/>
    </row>
    <row r="18" spans="2:7">
      <c r="B18" s="15">
        <v>10000</v>
      </c>
      <c r="C18" s="16">
        <v>35200</v>
      </c>
      <c r="D18" s="16">
        <v>500</v>
      </c>
      <c r="E18" s="10">
        <v>0.01420454545454545</v>
      </c>
      <c r="F18" s="5"/>
    </row>
    <row r="19" spans="2:7">
      <c r="B19" s="15">
        <v>40000</v>
      </c>
      <c r="C19" s="16">
        <v>140800</v>
      </c>
      <c r="D19" s="16">
        <v>500</v>
      </c>
      <c r="E19" s="13">
        <v>0.003551136363636364</v>
      </c>
      <c r="F19" s="5" t="s">
        <v>82</v>
      </c>
    </row>
    <row r="20" spans="2:7">
      <c r="B20" s="3" t="s">
        <v>83</v>
      </c>
    </row>
    <row r="21" spans="2:7">
      <c r="B21" s="4" t="s">
        <v>76</v>
      </c>
      <c r="C21" s="4" t="s">
        <v>77</v>
      </c>
      <c r="D21" s="4" t="s">
        <v>84</v>
      </c>
      <c r="E21" s="4" t="s">
        <v>79</v>
      </c>
      <c r="F21" s="4" t="s">
        <v>85</v>
      </c>
    </row>
    <row r="23" spans="2:7">
      <c r="B23" s="15">
        <v>500</v>
      </c>
      <c r="C23" s="16">
        <v>1760</v>
      </c>
      <c r="D23" s="17">
        <v>300</v>
      </c>
      <c r="E23" s="10">
        <v>0.1704545454545454</v>
      </c>
      <c r="F23" s="11" t="s">
        <v>86</v>
      </c>
    </row>
    <row r="24" spans="2:7">
      <c r="B24" s="15">
        <v>1000</v>
      </c>
      <c r="C24" s="16">
        <v>3520</v>
      </c>
      <c r="D24" s="17">
        <v>300</v>
      </c>
      <c r="E24" s="10">
        <v>0.08522727272727272</v>
      </c>
      <c r="F24" s="11" t="s">
        <v>86</v>
      </c>
    </row>
    <row r="25" spans="2:7">
      <c r="B25" s="15">
        <v>5000</v>
      </c>
      <c r="C25" s="16">
        <v>17600</v>
      </c>
      <c r="D25" s="17">
        <v>350</v>
      </c>
      <c r="E25" s="10">
        <v>0.01988636363636364</v>
      </c>
      <c r="F25" s="11"/>
    </row>
    <row r="26" spans="2:7">
      <c r="B26" s="15">
        <v>10000</v>
      </c>
      <c r="C26" s="16">
        <v>35200</v>
      </c>
      <c r="D26" s="17">
        <v>450</v>
      </c>
      <c r="E26" s="10">
        <v>0.01278409090909091</v>
      </c>
      <c r="F26" s="11"/>
    </row>
    <row r="27" spans="2:7">
      <c r="B27" s="15">
        <v>27500</v>
      </c>
      <c r="C27" s="16">
        <v>96800</v>
      </c>
      <c r="D27" s="17">
        <v>800</v>
      </c>
      <c r="E27" s="10">
        <v>0.008264462809917356</v>
      </c>
      <c r="F27" s="11" t="s">
        <v>87</v>
      </c>
    </row>
    <row r="28" spans="2:7">
      <c r="B28" s="15">
        <v>40000</v>
      </c>
      <c r="C28" s="16">
        <v>140800</v>
      </c>
      <c r="D28" s="17">
        <v>800</v>
      </c>
      <c r="E28" s="10">
        <v>0.005681818181818182</v>
      </c>
      <c r="F28" s="11" t="s">
        <v>88</v>
      </c>
    </row>
    <row r="29" spans="2:7">
      <c r="B29" s="15">
        <v>60000</v>
      </c>
      <c r="C29" s="16">
        <v>211200</v>
      </c>
      <c r="D29" s="17">
        <v>800</v>
      </c>
      <c r="E29" s="10">
        <v>0.003787878787878788</v>
      </c>
      <c r="F29" s="11" t="s">
        <v>88</v>
      </c>
    </row>
    <row r="30" spans="2:7">
      <c r="B30" s="12" t="s">
        <v>89</v>
      </c>
      <c r="C30" s="12"/>
      <c r="D30" s="12"/>
      <c r="E30" s="12"/>
      <c r="F30" s="12"/>
      <c r="G30" s="12"/>
    </row>
    <row r="31" spans="2:7">
      <c r="B31" s="12"/>
      <c r="C31" s="12"/>
      <c r="D31" s="12"/>
      <c r="E31" s="12"/>
      <c r="F31" s="12"/>
      <c r="G31" s="12"/>
    </row>
  </sheetData>
  <mergeCells count="5">
    <mergeCell ref="C7:E7"/>
    <mergeCell ref="C8:E8"/>
    <mergeCell ref="C9:E9"/>
    <mergeCell ref="B10:G11"/>
    <mergeCell ref="B30:G3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2:E17"/>
  <sheetViews>
    <sheetView showGridLines="0" workbookViewId="0"/>
  </sheetViews>
  <sheetFormatPr defaultRowHeight="15"/>
  <cols>
    <col min="1" max="1" width="2.7109375" customWidth="1"/>
    <col min="2" max="2" width="34.7109375" customWidth="1"/>
    <col min="3" max="5" width="20.7109375" customWidth="1"/>
  </cols>
  <sheetData>
    <row r="2" spans="2:5">
      <c r="B2" s="1" t="s">
        <v>90</v>
      </c>
    </row>
    <row r="4" spans="2:5" ht="26" customHeight="1">
      <c r="B4" s="8" t="s">
        <v>91</v>
      </c>
      <c r="C4" s="8"/>
      <c r="D4" s="8"/>
      <c r="E4" s="8"/>
    </row>
    <row r="6" spans="2:5">
      <c r="B6" s="3" t="s">
        <v>92</v>
      </c>
    </row>
    <row r="7" spans="2:5">
      <c r="B7" s="4" t="s">
        <v>3</v>
      </c>
      <c r="C7" s="4" t="s">
        <v>93</v>
      </c>
      <c r="D7" s="4" t="s">
        <v>94</v>
      </c>
      <c r="E7" s="4" t="s">
        <v>95</v>
      </c>
    </row>
    <row r="9" spans="2:5">
      <c r="B9" s="5" t="s">
        <v>96</v>
      </c>
      <c r="C9" s="16">
        <v>370</v>
      </c>
      <c r="D9" s="11" t="s">
        <v>97</v>
      </c>
      <c r="E9" s="11" t="s">
        <v>98</v>
      </c>
    </row>
    <row r="10" spans="2:5">
      <c r="B10" s="5" t="s">
        <v>99</v>
      </c>
      <c r="C10" s="17">
        <v>55.5</v>
      </c>
      <c r="D10" s="11" t="s">
        <v>100</v>
      </c>
      <c r="E10" s="11" t="s">
        <v>100</v>
      </c>
    </row>
    <row r="11" spans="2:5">
      <c r="B11" s="5" t="s">
        <v>101</v>
      </c>
      <c r="C11" s="16">
        <v>314.5</v>
      </c>
      <c r="D11" s="11" t="s">
        <v>102</v>
      </c>
      <c r="E11" s="11" t="s">
        <v>98</v>
      </c>
    </row>
    <row r="12" spans="2:5">
      <c r="B12" s="3" t="s">
        <v>103</v>
      </c>
    </row>
    <row r="13" spans="2:5">
      <c r="B13" s="4" t="s">
        <v>104</v>
      </c>
      <c r="C13" s="4" t="s">
        <v>105</v>
      </c>
    </row>
    <row r="15" spans="2:5" ht="44" customHeight="1">
      <c r="B15" s="6" t="s">
        <v>106</v>
      </c>
      <c r="C15" s="7" t="s">
        <v>107</v>
      </c>
      <c r="D15" s="7"/>
      <c r="E15" s="7"/>
    </row>
    <row r="16" spans="2:5" ht="44" customHeight="1">
      <c r="B16" s="6" t="s">
        <v>108</v>
      </c>
      <c r="C16" s="7" t="s">
        <v>109</v>
      </c>
      <c r="D16" s="7"/>
      <c r="E16" s="7"/>
    </row>
    <row r="17" spans="2:5" ht="44" customHeight="1">
      <c r="B17" s="6" t="s">
        <v>110</v>
      </c>
      <c r="C17" s="7" t="s">
        <v>111</v>
      </c>
      <c r="D17" s="7"/>
      <c r="E17" s="7"/>
    </row>
  </sheetData>
  <mergeCells count="4">
    <mergeCell ref="B4:E4"/>
    <mergeCell ref="C15:E15"/>
    <mergeCell ref="C16:E16"/>
    <mergeCell ref="C17:E17"/>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2:D25"/>
  <sheetViews>
    <sheetView showGridLines="0" workbookViewId="0"/>
  </sheetViews>
  <sheetFormatPr defaultRowHeight="15"/>
  <cols>
    <col min="1" max="1" width="2.7109375" customWidth="1"/>
    <col min="2" max="2" width="30.7109375" customWidth="1"/>
    <col min="3" max="3" width="16.7109375" customWidth="1"/>
    <col min="4" max="4" width="40.7109375" customWidth="1"/>
  </cols>
  <sheetData>
    <row r="2" spans="2:4">
      <c r="B2" s="1" t="s">
        <v>112</v>
      </c>
    </row>
    <row r="3" spans="2:4">
      <c r="B3" s="2" t="s">
        <v>113</v>
      </c>
    </row>
    <row r="5" spans="2:4">
      <c r="B5" s="3" t="s">
        <v>114</v>
      </c>
    </row>
    <row r="6" spans="2:4">
      <c r="D6" s="9" t="s">
        <v>132</v>
      </c>
    </row>
    <row r="7" spans="2:4">
      <c r="B7" s="5" t="s">
        <v>115</v>
      </c>
      <c r="C7" s="19">
        <v>10000</v>
      </c>
      <c r="D7" s="9"/>
    </row>
    <row r="8" spans="2:4">
      <c r="B8" s="5" t="s">
        <v>116</v>
      </c>
      <c r="C8" s="19">
        <v>3.52</v>
      </c>
      <c r="D8" s="9"/>
    </row>
    <row r="9" spans="2:4">
      <c r="B9" s="5" t="s">
        <v>117</v>
      </c>
      <c r="C9" s="19">
        <v>3</v>
      </c>
      <c r="D9" s="9"/>
    </row>
    <row r="10" spans="2:4">
      <c r="B10" s="5" t="s">
        <v>118</v>
      </c>
      <c r="C10" s="19">
        <v>250</v>
      </c>
      <c r="D10" s="9"/>
    </row>
    <row r="11" spans="2:4">
      <c r="B11" s="5" t="s">
        <v>119</v>
      </c>
      <c r="C11" s="19">
        <v>2</v>
      </c>
      <c r="D11" s="9"/>
    </row>
    <row r="12" spans="2:4">
      <c r="B12" s="5" t="s">
        <v>120</v>
      </c>
      <c r="C12" s="19">
        <v>300</v>
      </c>
      <c r="D12" s="9"/>
    </row>
    <row r="13" spans="2:4">
      <c r="B13" s="5" t="s">
        <v>121</v>
      </c>
      <c r="C13" s="19">
        <v>800</v>
      </c>
      <c r="D13" s="9"/>
    </row>
    <row r="14" spans="2:4">
      <c r="B14" s="5" t="s">
        <v>122</v>
      </c>
      <c r="C14" s="19">
        <v>15</v>
      </c>
    </row>
    <row r="15" spans="2:4">
      <c r="B15" s="3" t="s">
        <v>123</v>
      </c>
    </row>
    <row r="17" spans="2:3">
      <c r="B17" s="20" t="s">
        <v>77</v>
      </c>
      <c r="C17" s="16">
        <f>C7*C8</f>
        <v>0</v>
      </c>
    </row>
    <row r="18" spans="2:3">
      <c r="B18" s="20" t="s">
        <v>124</v>
      </c>
      <c r="C18" s="16">
        <f>C7*C9/100</f>
        <v>0</v>
      </c>
    </row>
    <row r="19" spans="2:3">
      <c r="B19" s="20" t="s">
        <v>125</v>
      </c>
      <c r="C19" s="10">
        <f>IF(C17=0,0,C18/C17)</f>
        <v>0</v>
      </c>
    </row>
    <row r="20" spans="2:3">
      <c r="B20" s="20" t="s">
        <v>126</v>
      </c>
      <c r="C20" s="16">
        <f>C10+C7*C11/100</f>
        <v>0</v>
      </c>
    </row>
    <row r="21" spans="2:3">
      <c r="B21" s="20" t="s">
        <v>127</v>
      </c>
      <c r="C21" s="16">
        <f>MIN(MAX(C20,C12),C13)</f>
        <v>0</v>
      </c>
    </row>
    <row r="22" spans="2:3">
      <c r="B22" s="20" t="s">
        <v>128</v>
      </c>
      <c r="C22" s="10">
        <f>IF(C17=0,0,C21/C17)</f>
        <v>0</v>
      </c>
    </row>
    <row r="23" spans="2:3">
      <c r="B23" s="20" t="s">
        <v>129</v>
      </c>
      <c r="C23" s="16">
        <f>C21*C14/100</f>
        <v>0</v>
      </c>
    </row>
    <row r="24" spans="2:3">
      <c r="B24" s="20" t="s">
        <v>130</v>
      </c>
      <c r="C24" s="16">
        <f>C21-C23</f>
        <v>0</v>
      </c>
    </row>
    <row r="25" spans="2:3">
      <c r="B25" s="21" t="s">
        <v>131</v>
      </c>
      <c r="C25" s="17">
        <f>C18+C23</f>
        <v>0</v>
      </c>
    </row>
  </sheetData>
  <mergeCells count="1">
    <mergeCell ref="D6:D1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B2:C19"/>
  <sheetViews>
    <sheetView showGridLines="0" workbookViewId="0"/>
  </sheetViews>
  <sheetFormatPr defaultRowHeight="15"/>
  <cols>
    <col min="1" max="1" width="2.7109375" customWidth="1"/>
    <col min="2" max="2" width="52.7109375" customWidth="1"/>
    <col min="3" max="3" width="74.7109375" customWidth="1"/>
  </cols>
  <sheetData>
    <row r="2" spans="2:3">
      <c r="B2" s="1" t="s">
        <v>133</v>
      </c>
    </row>
    <row r="3" spans="2:3">
      <c r="B3" s="2" t="s">
        <v>134</v>
      </c>
    </row>
    <row r="5" spans="2:3">
      <c r="B5" s="4" t="s">
        <v>135</v>
      </c>
      <c r="C5" s="4" t="s">
        <v>136</v>
      </c>
    </row>
    <row r="7" spans="2:3">
      <c r="B7" s="5" t="s">
        <v>137</v>
      </c>
      <c r="C7" s="22" t="s">
        <v>138</v>
      </c>
    </row>
    <row r="8" spans="2:3">
      <c r="B8" s="5" t="s">
        <v>139</v>
      </c>
      <c r="C8" s="22" t="s">
        <v>140</v>
      </c>
    </row>
    <row r="9" spans="2:3">
      <c r="B9" s="5" t="s">
        <v>141</v>
      </c>
      <c r="C9" s="22" t="s">
        <v>142</v>
      </c>
    </row>
    <row r="10" spans="2:3">
      <c r="B10" s="5" t="s">
        <v>143</v>
      </c>
      <c r="C10" s="22" t="s">
        <v>144</v>
      </c>
    </row>
    <row r="11" spans="2:3">
      <c r="B11" s="5" t="s">
        <v>145</v>
      </c>
      <c r="C11" s="22" t="s">
        <v>146</v>
      </c>
    </row>
    <row r="12" spans="2:3">
      <c r="B12" s="5" t="s">
        <v>147</v>
      </c>
      <c r="C12" s="22" t="s">
        <v>148</v>
      </c>
    </row>
    <row r="13" spans="2:3">
      <c r="B13" s="5" t="s">
        <v>149</v>
      </c>
      <c r="C13" s="22" t="s">
        <v>150</v>
      </c>
    </row>
    <row r="14" spans="2:3">
      <c r="B14" s="5" t="s">
        <v>151</v>
      </c>
      <c r="C14" s="22" t="s">
        <v>152</v>
      </c>
    </row>
    <row r="16" spans="2:3">
      <c r="B16" s="3" t="s">
        <v>153</v>
      </c>
    </row>
    <row r="17" spans="2:3">
      <c r="B17" s="9" t="s">
        <v>154</v>
      </c>
      <c r="C17" s="9"/>
    </row>
    <row r="18" spans="2:3">
      <c r="B18" s="9"/>
      <c r="C18" s="9"/>
    </row>
    <row r="19" spans="2:3">
      <c r="B19" s="9"/>
      <c r="C19" s="9"/>
    </row>
  </sheetData>
  <mergeCells count="1">
    <mergeCell ref="B17:C19"/>
  </mergeCells>
  <hyperlinks>
    <hyperlink ref="C7" r:id="rId1"/>
    <hyperlink ref="C8" r:id="rId2"/>
    <hyperlink ref="C9" r:id="rId3"/>
    <hyperlink ref="C10" r:id="rId4"/>
    <hyperlink ref="C11" r:id="rId5"/>
    <hyperlink ref="C12" r:id="rId6"/>
    <hyperlink ref="C13" r:id="rId7"/>
    <hyperlink ref="C14"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Resumen</vt:lpstr>
      <vt:lpstr>Comisión 3c</vt:lpstr>
      <vt:lpstr>Honorario</vt:lpstr>
      <vt:lpstr>Circuito de cobro</vt:lpstr>
      <vt:lpstr>Simulador</vt:lpstr>
      <vt:lpstr>Fuentes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2026-09-01T06:37:28Z</dcterms:created>
  <dcterms:modified xsi:type="dcterms:W3CDTF">2026-09-01T06:37:28Z</dcterms:modified>
</cp:coreProperties>
</file>